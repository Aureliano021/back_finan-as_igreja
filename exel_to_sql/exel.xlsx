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Nomes Membros" sheetId="2" r:id="rId6"/>
    <sheet state="visible" name="Resumo Mensal" sheetId="3" r:id="rId7"/>
    <sheet state="hidden" name="Calc_Data" sheetId="4" r:id="rId8"/>
  </sheets>
  <definedNames/>
  <calcPr/>
</workbook>
</file>

<file path=xl/sharedStrings.xml><?xml version="1.0" encoding="utf-8"?>
<sst xmlns="http://schemas.openxmlformats.org/spreadsheetml/2006/main" count="131" uniqueCount="68">
  <si>
    <t>Mês/Ano:</t>
  </si>
  <si>
    <t>Mês/Ano</t>
  </si>
  <si>
    <t>IMW-ITUPEVA 10/2024</t>
  </si>
  <si>
    <t>06/2026</t>
  </si>
  <si>
    <t>Categoria</t>
  </si>
  <si>
    <t>Carimbo de data/hora</t>
  </si>
  <si>
    <t>Total</t>
  </si>
  <si>
    <t>Dízimo</t>
  </si>
  <si>
    <t>NOMES DOS MEMBROS</t>
  </si>
  <si>
    <t>CONGREGADOS BATIZADOS C/ UNIÃO ESTÁVEL</t>
  </si>
  <si>
    <t>CONGREGADOS NÃO BATIZADOS</t>
  </si>
  <si>
    <t>1. Data da Movimentação</t>
  </si>
  <si>
    <t>CRIANÇAS</t>
  </si>
  <si>
    <t>2. Tipo de Movimentação</t>
  </si>
  <si>
    <t>Ary dos Santos Peixoto</t>
  </si>
  <si>
    <t>3. Descrição da Movimentação ou Nome do Contribuinte (se aplicável)</t>
  </si>
  <si>
    <t>4. Valor (R$)</t>
  </si>
  <si>
    <t>Maria Cruz Neres</t>
  </si>
  <si>
    <t>Eberson de Souza Fernandes</t>
  </si>
  <si>
    <t>Aline Santos Ribeiro</t>
  </si>
  <si>
    <t>Edna Maria Francosviak</t>
  </si>
  <si>
    <t>Marlene Oliveira da Costa</t>
  </si>
  <si>
    <t>Jair Ferreira dos Santos</t>
  </si>
  <si>
    <t>Heitor de Jesus Fernades</t>
  </si>
  <si>
    <t>Érika Ribeiro dos Santos Gomes</t>
  </si>
  <si>
    <t>Oferta</t>
  </si>
  <si>
    <t>Marlene</t>
  </si>
  <si>
    <t>Jeová Souza Lima</t>
  </si>
  <si>
    <t>Wélington Ferreira Alves</t>
  </si>
  <si>
    <t>Gilberto Rodrigues Santos</t>
  </si>
  <si>
    <t>Nicolle Cristina Ferreira dos Santos</t>
  </si>
  <si>
    <t>Saída (Despesa)</t>
  </si>
  <si>
    <t>Marilha Lopes</t>
  </si>
  <si>
    <t>Rodrigo Gomes dos Santos Ribeiro</t>
  </si>
  <si>
    <t>Marta Maria Gonçalves</t>
  </si>
  <si>
    <t>Valdionor de Jesus Silva</t>
  </si>
  <si>
    <t>Matheus Francosviak Lima</t>
  </si>
  <si>
    <t>Voldionor</t>
  </si>
  <si>
    <t>Rosana dos Santos Ferreira</t>
  </si>
  <si>
    <t>Viviane Dias de Jesus Almeida</t>
  </si>
  <si>
    <t>Saldo Líquido</t>
  </si>
  <si>
    <t>Maiquele</t>
  </si>
  <si>
    <t xml:space="preserve">Evelin </t>
  </si>
  <si>
    <t>Data</t>
  </si>
  <si>
    <t>Tipo</t>
  </si>
  <si>
    <t>Descrição</t>
  </si>
  <si>
    <t>Valor</t>
  </si>
  <si>
    <t>Edna</t>
  </si>
  <si>
    <t xml:space="preserve">Mateus </t>
  </si>
  <si>
    <t>Ary</t>
  </si>
  <si>
    <t xml:space="preserve">Energia </t>
  </si>
  <si>
    <t xml:space="preserve">Internet </t>
  </si>
  <si>
    <t xml:space="preserve">Água </t>
  </si>
  <si>
    <t>Zeladora</t>
  </si>
  <si>
    <t xml:space="preserve">Aluguel </t>
  </si>
  <si>
    <t xml:space="preserve">Maria </t>
  </si>
  <si>
    <t xml:space="preserve">Marília </t>
  </si>
  <si>
    <t>Valdionor</t>
  </si>
  <si>
    <t>Internet</t>
  </si>
  <si>
    <t>Energia</t>
  </si>
  <si>
    <t xml:space="preserve">Produto de limpeza </t>
  </si>
  <si>
    <t xml:space="preserve">Lembranças das mães </t>
  </si>
  <si>
    <t>Parcela mic sem fio</t>
  </si>
  <si>
    <t>Aluguel</t>
  </si>
  <si>
    <t>Maria</t>
  </si>
  <si>
    <t>Marilia</t>
  </si>
  <si>
    <t xml:space="preserve">limpeza </t>
  </si>
  <si>
    <t>Parcela mic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</si>
</sst>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&quot;R$&quot;#,##0.00"/>
    <numFmt numFmtId="166" formatCode="dd/mm/yyyy"/>
  </numFmts>
  <fonts count="15">
    <font>
      <sz val="10.0"/>
      <color rgb="FF000000"/>
      <name val="Arial"/>
      <scheme val="minor"/>
    </font>
    <font>
      <b/>
      <color theme="1"/>
      <name val="Montserrat"/>
    </font>
    <font>
      <color theme="1"/>
      <name val="Arial"/>
      <scheme val="minor"/>
    </font>
    <font>
      <b/>
      <color theme="1"/>
      <name val="Roboto"/>
    </font>
    <font>
      <b/>
      <sz val="14.0"/>
      <color rgb="FFFFFFFF"/>
      <name val="Montserrat"/>
    </font>
    <font>
      <b/>
      <color rgb="FFFFFFFF"/>
      <name val="Montserrat"/>
    </font>
    <font/>
    <font>
      <color rgb="FF197F33"/>
      <name val="Roboto"/>
    </font>
    <font>
      <b/>
      <sz val="11.0"/>
      <color rgb="FFFFFFFF"/>
      <name val="Montserrat"/>
    </font>
    <font>
      <sz val="10.0"/>
      <color rgb="FF181C1F"/>
      <name val="Roboto"/>
    </font>
    <font>
      <color rgb="FFCC1919"/>
      <name val="Roboto"/>
    </font>
    <font>
      <b/>
      <sz val="11.0"/>
      <color rgb="FF000000"/>
      <name val="&quot;Aptos Narrow&quot;"/>
    </font>
    <font>
      <b/>
      <color rgb="FF197F33"/>
      <name val="Roboto"/>
    </font>
    <font>
      <sz val="11.0"/>
      <color rgb="FF000000"/>
      <name val="&quot;Aptos Narrow&quot;"/>
    </font>
    <font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405F91"/>
        <bgColor rgb="FF405F91"/>
      </patternFill>
    </fill>
    <fill>
      <patternFill patternType="solid">
        <fgColor rgb="FF3B6939"/>
        <bgColor rgb="FF3B6939"/>
      </patternFill>
    </fill>
    <fill>
      <patternFill patternType="solid">
        <fgColor rgb="FFD8EDD3"/>
        <bgColor rgb="FFD8EDD3"/>
      </patternFill>
    </fill>
    <fill>
      <patternFill patternType="solid">
        <fgColor rgb="FFA6C9EC"/>
        <bgColor rgb="FFA6C9EC"/>
      </patternFill>
    </fill>
    <fill>
      <patternFill patternType="solid">
        <fgColor rgb="FFF9CCCC"/>
        <bgColor rgb="FFF9CCC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1" fillId="2" fontId="4" numFmtId="0" xfId="0" applyAlignment="1" applyBorder="1" applyFill="1" applyFont="1">
      <alignment horizontal="center" readingOrder="0" shrinkToFit="0" vertical="center" wrapText="0"/>
    </xf>
    <xf borderId="0" fillId="3" fontId="5" numFmtId="0" xfId="0" applyAlignment="1" applyFill="1" applyFont="1">
      <alignment horizontal="center" readingOrder="0"/>
    </xf>
    <xf borderId="2" fillId="0" fontId="6" numFmtId="0" xfId="0" applyBorder="1" applyFont="1"/>
    <xf borderId="0" fillId="0" fontId="2" numFmtId="0" xfId="0" applyFont="1"/>
    <xf borderId="3" fillId="0" fontId="6" numFmtId="0" xfId="0" applyBorder="1" applyFont="1"/>
    <xf borderId="0" fillId="4" fontId="7" numFmtId="0" xfId="0" applyAlignment="1" applyFill="1" applyFont="1">
      <alignment readingOrder="0"/>
    </xf>
    <xf borderId="4" fillId="5" fontId="8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4" fillId="0" fontId="9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 vertical="center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4" fontId="7" numFmtId="165" xfId="0" applyFont="1" applyNumberFormat="1"/>
    <xf borderId="0" fillId="0" fontId="2" numFmtId="0" xfId="0" applyAlignment="1" applyFont="1">
      <alignment readingOrder="0" shrinkToFit="0" vertical="center" wrapText="0"/>
    </xf>
    <xf borderId="0" fillId="0" fontId="9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6" fontId="10" numFmtId="0" xfId="0" applyAlignment="1" applyFill="1" applyFont="1">
      <alignment readingOrder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0" fillId="6" fontId="10" numFmtId="165" xfId="0" applyFont="1" applyNumberFormat="1"/>
    <xf borderId="0" fillId="0" fontId="11" numFmtId="0" xfId="0" applyAlignment="1" applyFont="1">
      <alignment horizontal="center" readingOrder="0" shrinkToFit="0" vertical="bottom" wrapText="0"/>
    </xf>
    <xf borderId="0" fillId="4" fontId="12" numFmtId="0" xfId="0" applyAlignment="1" applyFont="1">
      <alignment readingOrder="0"/>
    </xf>
    <xf borderId="0" fillId="0" fontId="13" numFmtId="0" xfId="0" applyAlignment="1" applyFont="1">
      <alignment readingOrder="0" shrinkToFit="0" vertical="bottom" wrapText="0"/>
    </xf>
    <xf borderId="0" fillId="4" fontId="12" numFmtId="165" xfId="0" applyFont="1" applyNumberFormat="1"/>
    <xf borderId="0" fillId="0" fontId="14" numFmtId="166" xfId="0" applyFont="1" applyNumberFormat="1"/>
    <xf borderId="0" fillId="0" fontId="14" numFmtId="0" xfId="0" applyFont="1"/>
    <xf borderId="0" fillId="0" fontId="14" numFmtId="165" xfId="0" applyFont="1" applyNumberForma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405F91"/>
          <bgColor rgb="FF405F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CC1919"/>
      </font>
      <fill>
        <patternFill patternType="solid">
          <fgColor rgb="FFF9CCCC"/>
          <bgColor rgb="FFF9CCCC"/>
        </patternFill>
      </fill>
      <border/>
    </dxf>
    <dxf>
      <font>
        <color rgb="FF197F33"/>
      </font>
      <fill>
        <patternFill patternType="solid">
          <fgColor rgb="FFD8EDD3"/>
          <bgColor rgb="FFD8EDD3"/>
        </patternFill>
      </fill>
      <border/>
    </dxf>
  </dxfs>
  <tableStyles count="2">
    <tableStyle count="3" pivot="0" name="Nomes Membros-style">
      <tableStyleElement dxfId="2" type="headerRow"/>
      <tableStyleElement dxfId="3" type="firstRowStripe"/>
      <tableStyleElement dxfId="4" type="secondRowStripe"/>
    </tableStyle>
    <tableStyle count="4" pivot="0" name="Respostas ao formulário 1-style">
      <tableStyleElement dxfId="1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6" displayName="Form_Responses" name="Form_Responses" id="2">
  <tableColumns count="5">
    <tableColumn name="Carimbo de data/hora" id="1"/>
    <tableColumn name="1. Data da Movimentação" id="2"/>
    <tableColumn name="2. Tipo de Movimentação" id="3"/>
    <tableColumn name="3. Descrição da Movimentação ou Nome do Contribuinte (se aplicável)" id="4"/>
    <tableColumn name="4. Valor (R$)" id="5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ref="A2:D11" displayName="Table_1" name="Table_1" id="1">
  <tableColumns count="4">
    <tableColumn name="NOMES DOS MEMBROS" id="1"/>
    <tableColumn name="CONGREGADOS BATIZADOS C/ UNIÃO ESTÁVEL" id="2"/>
    <tableColumn name="CONGREGADOS NÃO BATIZADOS" id="3"/>
    <tableColumn name="CRIANÇAS" id="4"/>
  </tableColumns>
  <tableStyleInfo name="Nomes Memb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3.88"/>
    <col customWidth="1" min="3" max="3" width="23.75"/>
    <col customWidth="1" min="4" max="4" width="37.63"/>
    <col customWidth="1" min="5" max="11" width="18.88"/>
  </cols>
  <sheetData>
    <row r="1" ht="22.5" customHeight="1">
      <c r="A1" s="12" t="s">
        <v>5</v>
      </c>
      <c r="B1" s="12" t="s">
        <v>11</v>
      </c>
      <c r="C1" s="12" t="s">
        <v>13</v>
      </c>
      <c r="D1" s="12" t="s">
        <v>15</v>
      </c>
      <c r="E1" s="12" t="s">
        <v>16</v>
      </c>
    </row>
    <row r="2" ht="22.5" customHeight="1">
      <c r="A2" s="15">
        <v>46148.86591974537</v>
      </c>
      <c r="B2" s="16">
        <v>46113.0</v>
      </c>
      <c r="C2" s="18" t="s">
        <v>7</v>
      </c>
      <c r="D2" s="18" t="s">
        <v>26</v>
      </c>
      <c r="E2" s="20">
        <v>50.0</v>
      </c>
    </row>
    <row r="3" ht="22.5" customHeight="1">
      <c r="A3" s="22">
        <v>46148.866158495366</v>
      </c>
      <c r="B3" s="23">
        <v>46113.0</v>
      </c>
      <c r="C3" s="24" t="s">
        <v>7</v>
      </c>
      <c r="D3" s="24" t="s">
        <v>37</v>
      </c>
      <c r="E3" s="25">
        <v>120.0</v>
      </c>
    </row>
    <row r="4" ht="22.5" customHeight="1">
      <c r="A4" s="22">
        <v>46148.866532141205</v>
      </c>
      <c r="B4" s="23">
        <v>46113.0</v>
      </c>
      <c r="C4" s="24" t="s">
        <v>7</v>
      </c>
      <c r="D4" s="24" t="s">
        <v>41</v>
      </c>
      <c r="E4" s="25">
        <v>170.0</v>
      </c>
    </row>
    <row r="5" ht="22.5" customHeight="1">
      <c r="A5" s="22">
        <v>46148.86675084491</v>
      </c>
      <c r="B5" s="23">
        <v>46113.0</v>
      </c>
      <c r="C5" s="24" t="s">
        <v>7</v>
      </c>
      <c r="D5" s="24" t="s">
        <v>42</v>
      </c>
      <c r="E5" s="25">
        <v>20.0</v>
      </c>
    </row>
    <row r="6" ht="22.5" customHeight="1">
      <c r="A6" s="22">
        <v>46148.86708190972</v>
      </c>
      <c r="B6" s="23">
        <v>46113.0</v>
      </c>
      <c r="C6" s="24" t="s">
        <v>7</v>
      </c>
      <c r="D6" s="24" t="s">
        <v>47</v>
      </c>
      <c r="E6" s="25">
        <v>100.0</v>
      </c>
    </row>
    <row r="7" ht="22.5" customHeight="1">
      <c r="A7" s="22">
        <v>46148.867399282404</v>
      </c>
      <c r="B7" s="23">
        <v>46113.0</v>
      </c>
      <c r="C7" s="24" t="s">
        <v>7</v>
      </c>
      <c r="D7" s="24" t="s">
        <v>48</v>
      </c>
      <c r="E7" s="25">
        <v>40.0</v>
      </c>
    </row>
    <row r="8" ht="22.5" customHeight="1">
      <c r="A8" s="22">
        <v>46148.86767424768</v>
      </c>
      <c r="B8" s="23">
        <v>46113.0</v>
      </c>
      <c r="C8" s="24" t="s">
        <v>7</v>
      </c>
      <c r="D8" s="24" t="s">
        <v>49</v>
      </c>
      <c r="E8" s="25">
        <v>350.0</v>
      </c>
    </row>
    <row r="9" ht="22.5" customHeight="1">
      <c r="A9" s="22">
        <v>46148.867960578704</v>
      </c>
      <c r="B9" s="23">
        <v>46113.0</v>
      </c>
      <c r="C9" s="24" t="s">
        <v>25</v>
      </c>
      <c r="D9" s="24" t="s">
        <v>25</v>
      </c>
      <c r="E9" s="25">
        <v>387.0</v>
      </c>
    </row>
    <row r="10" ht="22.5" customHeight="1">
      <c r="A10" s="22">
        <v>46148.86820673611</v>
      </c>
      <c r="B10" s="23">
        <v>46113.0</v>
      </c>
      <c r="C10" s="24" t="s">
        <v>31</v>
      </c>
      <c r="D10" s="24" t="s">
        <v>50</v>
      </c>
      <c r="E10" s="25">
        <v>70.0</v>
      </c>
    </row>
    <row r="11" ht="22.5" customHeight="1">
      <c r="A11" s="22">
        <v>46148.868447824076</v>
      </c>
      <c r="B11" s="23">
        <v>46113.0</v>
      </c>
      <c r="C11" s="24" t="s">
        <v>31</v>
      </c>
      <c r="D11" s="24" t="s">
        <v>51</v>
      </c>
      <c r="E11" s="25">
        <v>50.0</v>
      </c>
    </row>
    <row r="12" ht="22.5" customHeight="1">
      <c r="A12" s="22">
        <v>46148.86867752315</v>
      </c>
      <c r="B12" s="23">
        <v>46113.0</v>
      </c>
      <c r="C12" s="24" t="s">
        <v>31</v>
      </c>
      <c r="D12" s="24" t="s">
        <v>52</v>
      </c>
      <c r="E12" s="25">
        <v>54.0</v>
      </c>
    </row>
    <row r="13" ht="22.5" customHeight="1">
      <c r="A13" s="22">
        <v>46148.86898886574</v>
      </c>
      <c r="B13" s="23">
        <v>46113.0</v>
      </c>
      <c r="C13" s="24" t="s">
        <v>31</v>
      </c>
      <c r="D13" s="24" t="s">
        <v>53</v>
      </c>
      <c r="E13" s="25">
        <v>300.0</v>
      </c>
    </row>
    <row r="14" ht="22.5" customHeight="1">
      <c r="A14" s="22">
        <v>46148.86917398148</v>
      </c>
      <c r="B14" s="23">
        <v>46113.0</v>
      </c>
      <c r="C14" s="24" t="s">
        <v>31</v>
      </c>
      <c r="D14" s="24" t="s">
        <v>54</v>
      </c>
      <c r="E14" s="25">
        <v>350.0</v>
      </c>
    </row>
    <row r="15" ht="22.5" customHeight="1">
      <c r="A15" s="22"/>
      <c r="B15" s="23"/>
      <c r="E15" s="25"/>
    </row>
    <row r="16" ht="22.5" customHeight="1">
      <c r="A16" s="22">
        <v>46181.41561835648</v>
      </c>
      <c r="B16" s="23">
        <v>46143.0</v>
      </c>
      <c r="C16" s="24" t="s">
        <v>7</v>
      </c>
      <c r="D16" s="24" t="s">
        <v>55</v>
      </c>
      <c r="E16" s="25">
        <v>100.0</v>
      </c>
    </row>
    <row r="17" ht="22.5" customHeight="1">
      <c r="A17" s="22">
        <v>46181.415811643514</v>
      </c>
      <c r="B17" s="23">
        <v>46143.0</v>
      </c>
      <c r="C17" s="24" t="s">
        <v>7</v>
      </c>
      <c r="D17" s="24" t="s">
        <v>56</v>
      </c>
      <c r="E17" s="25">
        <v>200.0</v>
      </c>
    </row>
    <row r="18" ht="22.5" customHeight="1">
      <c r="A18" s="22">
        <v>46181.416065150464</v>
      </c>
      <c r="B18" s="23">
        <v>46143.0</v>
      </c>
      <c r="C18" s="24" t="s">
        <v>7</v>
      </c>
      <c r="D18" s="24" t="s">
        <v>57</v>
      </c>
      <c r="E18" s="25">
        <v>120.0</v>
      </c>
    </row>
    <row r="19" ht="22.5" customHeight="1">
      <c r="A19" s="22">
        <v>46181.416244872686</v>
      </c>
      <c r="B19" s="23">
        <v>46143.0</v>
      </c>
      <c r="C19" s="24" t="s">
        <v>7</v>
      </c>
      <c r="D19" s="24" t="s">
        <v>41</v>
      </c>
      <c r="E19" s="25">
        <v>65.0</v>
      </c>
    </row>
    <row r="20" ht="22.5" customHeight="1">
      <c r="A20" s="22">
        <v>46181.41642949074</v>
      </c>
      <c r="B20" s="23">
        <v>46143.0</v>
      </c>
      <c r="C20" s="24" t="s">
        <v>7</v>
      </c>
      <c r="D20" s="24" t="s">
        <v>47</v>
      </c>
      <c r="E20" s="25">
        <v>100.0</v>
      </c>
    </row>
    <row r="21" ht="22.5" customHeight="1">
      <c r="A21" s="22">
        <v>46181.416606875</v>
      </c>
      <c r="B21" s="23">
        <v>46143.0</v>
      </c>
      <c r="C21" s="24" t="s">
        <v>7</v>
      </c>
      <c r="D21" s="24" t="s">
        <v>48</v>
      </c>
      <c r="E21" s="25">
        <v>50.0</v>
      </c>
    </row>
    <row r="22" ht="22.5" customHeight="1">
      <c r="A22" s="22">
        <v>46181.416856006945</v>
      </c>
      <c r="B22" s="23">
        <v>46143.0</v>
      </c>
      <c r="C22" s="24" t="s">
        <v>7</v>
      </c>
      <c r="D22" s="24" t="s">
        <v>49</v>
      </c>
      <c r="E22" s="25">
        <v>350.0</v>
      </c>
    </row>
    <row r="23" ht="22.5" customHeight="1">
      <c r="A23" s="22">
        <v>46181.41719490741</v>
      </c>
      <c r="B23" s="23">
        <v>46143.0</v>
      </c>
      <c r="C23" s="24" t="s">
        <v>25</v>
      </c>
      <c r="D23" s="24" t="s">
        <v>25</v>
      </c>
      <c r="E23" s="25">
        <v>740.0</v>
      </c>
    </row>
    <row r="24" ht="22.5" customHeight="1">
      <c r="A24" s="22">
        <v>46181.41735739583</v>
      </c>
      <c r="B24" s="23">
        <v>46143.0</v>
      </c>
      <c r="C24" s="24" t="s">
        <v>31</v>
      </c>
      <c r="D24" s="24" t="s">
        <v>58</v>
      </c>
      <c r="E24" s="25">
        <v>50.0</v>
      </c>
    </row>
    <row r="25" ht="22.5" customHeight="1">
      <c r="A25" s="22">
        <v>46181.41750927083</v>
      </c>
      <c r="B25" s="23">
        <v>46143.0</v>
      </c>
      <c r="C25" s="24" t="s">
        <v>31</v>
      </c>
      <c r="D25" s="24" t="s">
        <v>59</v>
      </c>
      <c r="E25" s="25">
        <v>55.0</v>
      </c>
    </row>
    <row r="26" ht="22.5" customHeight="1">
      <c r="A26" s="22">
        <v>46181.41766737269</v>
      </c>
      <c r="B26" s="23">
        <v>46143.0</v>
      </c>
      <c r="C26" s="24" t="s">
        <v>31</v>
      </c>
      <c r="D26" s="24" t="s">
        <v>52</v>
      </c>
      <c r="E26" s="25">
        <v>54.0</v>
      </c>
    </row>
    <row r="27" ht="22.5" customHeight="1">
      <c r="A27" s="22">
        <v>46181.41783820602</v>
      </c>
      <c r="B27" s="23">
        <v>46143.0</v>
      </c>
      <c r="C27" s="24" t="s">
        <v>31</v>
      </c>
      <c r="D27" s="24" t="s">
        <v>60</v>
      </c>
      <c r="E27" s="25">
        <v>43.0</v>
      </c>
    </row>
    <row r="28" ht="22.5" customHeight="1">
      <c r="A28" s="22">
        <v>46181.41825796296</v>
      </c>
      <c r="B28" s="23">
        <v>46143.0</v>
      </c>
      <c r="C28" s="24" t="s">
        <v>31</v>
      </c>
      <c r="D28" s="24" t="s">
        <v>61</v>
      </c>
      <c r="E28" s="25">
        <v>90.0</v>
      </c>
    </row>
    <row r="29" ht="22.5" customHeight="1">
      <c r="A29" s="22">
        <v>46181.418567719906</v>
      </c>
      <c r="B29" s="23">
        <v>46143.0</v>
      </c>
      <c r="C29" s="24" t="s">
        <v>31</v>
      </c>
      <c r="D29" s="24" t="s">
        <v>62</v>
      </c>
      <c r="E29" s="25">
        <v>114.0</v>
      </c>
    </row>
    <row r="30" ht="22.5" customHeight="1">
      <c r="A30" s="22">
        <v>46181.41876771991</v>
      </c>
      <c r="B30" s="23">
        <v>46143.0</v>
      </c>
      <c r="C30" s="24" t="s">
        <v>31</v>
      </c>
      <c r="D30" s="24" t="s">
        <v>63</v>
      </c>
      <c r="E30" s="25">
        <v>350.0</v>
      </c>
    </row>
    <row r="31" ht="22.5" customHeight="1">
      <c r="A31" s="22">
        <v>46181.41897424769</v>
      </c>
      <c r="B31" s="23">
        <v>46143.0</v>
      </c>
      <c r="C31" s="24" t="s">
        <v>31</v>
      </c>
      <c r="D31" s="24" t="s">
        <v>53</v>
      </c>
      <c r="E31" s="25">
        <v>300.0</v>
      </c>
    </row>
    <row r="32" ht="22.5" customHeight="1">
      <c r="A32" s="22">
        <v>46216.81713725695</v>
      </c>
      <c r="B32" s="23">
        <v>46174.0</v>
      </c>
      <c r="C32" s="24" t="s">
        <v>7</v>
      </c>
      <c r="D32" s="24" t="s">
        <v>57</v>
      </c>
      <c r="E32" s="25">
        <v>120.0</v>
      </c>
    </row>
    <row r="33" ht="22.5" customHeight="1">
      <c r="A33" s="22">
        <v>46216.8172897801</v>
      </c>
      <c r="B33" s="23">
        <v>46174.0</v>
      </c>
      <c r="C33" s="24" t="s">
        <v>7</v>
      </c>
      <c r="D33" s="24" t="s">
        <v>64</v>
      </c>
      <c r="E33" s="25">
        <v>110.0</v>
      </c>
    </row>
    <row r="34" ht="22.5" customHeight="1">
      <c r="A34" s="22">
        <v>46216.8174700463</v>
      </c>
      <c r="B34" s="23">
        <v>46174.0</v>
      </c>
      <c r="C34" s="24" t="s">
        <v>7</v>
      </c>
      <c r="D34" s="24" t="s">
        <v>26</v>
      </c>
      <c r="E34" s="25">
        <v>50.0</v>
      </c>
    </row>
    <row r="35" ht="22.5" customHeight="1">
      <c r="A35" s="22">
        <v>46216.81824375</v>
      </c>
      <c r="B35" s="23">
        <v>46174.0</v>
      </c>
      <c r="C35" s="24" t="s">
        <v>7</v>
      </c>
      <c r="D35" s="24" t="s">
        <v>64</v>
      </c>
      <c r="E35" s="25">
        <v>105.0</v>
      </c>
    </row>
    <row r="36" ht="22.5" customHeight="1">
      <c r="A36" s="22">
        <v>46216.818385046296</v>
      </c>
      <c r="B36" s="23">
        <v>46174.0</v>
      </c>
      <c r="C36" s="24" t="s">
        <v>7</v>
      </c>
      <c r="D36" s="24" t="s">
        <v>65</v>
      </c>
      <c r="E36" s="25">
        <v>200.0</v>
      </c>
    </row>
    <row r="37" ht="22.5" customHeight="1">
      <c r="A37" s="22">
        <v>46216.81851430556</v>
      </c>
      <c r="B37" s="23">
        <v>46174.0</v>
      </c>
      <c r="C37" s="24" t="s">
        <v>7</v>
      </c>
      <c r="D37" s="24" t="s">
        <v>47</v>
      </c>
      <c r="E37" s="25">
        <v>100.0</v>
      </c>
    </row>
    <row r="38" ht="22.5" customHeight="1">
      <c r="A38" s="22">
        <v>46216.81868601852</v>
      </c>
      <c r="B38" s="23">
        <v>46174.0</v>
      </c>
      <c r="C38" s="24" t="s">
        <v>7</v>
      </c>
      <c r="D38" s="24" t="s">
        <v>48</v>
      </c>
      <c r="E38" s="25">
        <v>50.0</v>
      </c>
    </row>
    <row r="39" ht="22.5" customHeight="1">
      <c r="A39" s="22">
        <v>46216.8188269213</v>
      </c>
      <c r="B39" s="23">
        <v>46174.0</v>
      </c>
      <c r="C39" s="24" t="s">
        <v>7</v>
      </c>
      <c r="D39" s="24" t="s">
        <v>49</v>
      </c>
      <c r="E39" s="25">
        <v>350.0</v>
      </c>
    </row>
    <row r="40" ht="22.5" customHeight="1">
      <c r="A40" s="22">
        <v>46216.81909898148</v>
      </c>
      <c r="B40" s="23">
        <v>46174.0</v>
      </c>
      <c r="C40" s="24" t="s">
        <v>25</v>
      </c>
      <c r="D40" s="24" t="s">
        <v>25</v>
      </c>
      <c r="E40" s="25">
        <v>173.0</v>
      </c>
    </row>
    <row r="41" ht="22.5" customHeight="1">
      <c r="A41" s="22">
        <v>46216.81931208333</v>
      </c>
      <c r="B41" s="23">
        <v>46174.0</v>
      </c>
      <c r="C41" s="24" t="s">
        <v>31</v>
      </c>
      <c r="D41" s="24" t="s">
        <v>59</v>
      </c>
      <c r="E41" s="25">
        <v>64.0</v>
      </c>
    </row>
    <row r="42" ht="22.5" customHeight="1">
      <c r="A42" s="22">
        <v>46216.81944771991</v>
      </c>
      <c r="B42" s="23">
        <v>46174.0</v>
      </c>
      <c r="C42" s="24" t="s">
        <v>31</v>
      </c>
      <c r="D42" s="24" t="s">
        <v>51</v>
      </c>
      <c r="E42" s="25">
        <v>50.0</v>
      </c>
    </row>
    <row r="43" ht="22.5" customHeight="1">
      <c r="A43" s="22">
        <v>46216.81959413194</v>
      </c>
      <c r="B43" s="23">
        <v>46174.0</v>
      </c>
      <c r="C43" s="24" t="s">
        <v>31</v>
      </c>
      <c r="D43" s="24" t="s">
        <v>52</v>
      </c>
      <c r="E43" s="25">
        <v>54.0</v>
      </c>
    </row>
    <row r="44" ht="22.5" customHeight="1">
      <c r="A44" s="22">
        <v>46216.81973</v>
      </c>
      <c r="B44" s="23">
        <v>46174.0</v>
      </c>
      <c r="C44" s="24" t="s">
        <v>31</v>
      </c>
      <c r="D44" s="24" t="s">
        <v>54</v>
      </c>
      <c r="E44" s="25">
        <v>350.0</v>
      </c>
    </row>
    <row r="45" ht="22.5" customHeight="1">
      <c r="A45" s="22">
        <v>46216.82003287037</v>
      </c>
      <c r="B45" s="23">
        <v>46174.0</v>
      </c>
      <c r="C45" s="24" t="s">
        <v>31</v>
      </c>
      <c r="D45" s="24" t="s">
        <v>66</v>
      </c>
      <c r="E45" s="25">
        <v>300.0</v>
      </c>
    </row>
    <row r="46" ht="22.5" customHeight="1">
      <c r="A46" s="22">
        <v>46216.82020342593</v>
      </c>
      <c r="B46" s="23">
        <v>46174.0</v>
      </c>
      <c r="C46" s="24" t="s">
        <v>31</v>
      </c>
      <c r="D46" s="24" t="s">
        <v>67</v>
      </c>
      <c r="E46" s="25">
        <v>114.0</v>
      </c>
    </row>
  </sheetData>
  <dataValidations>
    <dataValidation type="custom" allowBlank="1" showDropDown="1" sqref="E2:E46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31.38"/>
  </cols>
  <sheetData>
    <row r="1">
      <c r="A1" s="4" t="s">
        <v>2</v>
      </c>
      <c r="B1" s="6"/>
      <c r="C1" s="6"/>
      <c r="D1" s="8"/>
    </row>
    <row r="2">
      <c r="A2" s="10" t="s">
        <v>8</v>
      </c>
      <c r="B2" s="11" t="s">
        <v>9</v>
      </c>
      <c r="C2" s="11" t="s">
        <v>10</v>
      </c>
      <c r="D2" s="11" t="s">
        <v>12</v>
      </c>
    </row>
    <row r="3">
      <c r="A3" s="13" t="s">
        <v>14</v>
      </c>
      <c r="B3" s="14" t="s">
        <v>17</v>
      </c>
      <c r="C3" s="14" t="s">
        <v>18</v>
      </c>
      <c r="D3" s="14" t="s">
        <v>19</v>
      </c>
    </row>
    <row r="4">
      <c r="A4" s="13" t="s">
        <v>20</v>
      </c>
      <c r="B4" s="14" t="s">
        <v>21</v>
      </c>
      <c r="C4" s="14" t="s">
        <v>22</v>
      </c>
      <c r="D4" s="14" t="s">
        <v>23</v>
      </c>
    </row>
    <row r="5">
      <c r="A5" s="13" t="s">
        <v>24</v>
      </c>
      <c r="B5" s="19"/>
      <c r="C5" s="14" t="s">
        <v>27</v>
      </c>
      <c r="D5" s="14" t="s">
        <v>28</v>
      </c>
    </row>
    <row r="6">
      <c r="A6" s="13" t="s">
        <v>29</v>
      </c>
      <c r="B6" s="19"/>
      <c r="C6" s="14" t="s">
        <v>30</v>
      </c>
      <c r="D6" s="19"/>
    </row>
    <row r="7">
      <c r="A7" s="13" t="s">
        <v>32</v>
      </c>
      <c r="B7" s="19"/>
      <c r="C7" s="14" t="s">
        <v>33</v>
      </c>
      <c r="D7" s="19"/>
    </row>
    <row r="8">
      <c r="A8" s="13" t="s">
        <v>34</v>
      </c>
      <c r="B8" s="19"/>
      <c r="C8" s="14" t="s">
        <v>35</v>
      </c>
      <c r="D8" s="19"/>
    </row>
    <row r="9">
      <c r="A9" s="13" t="s">
        <v>36</v>
      </c>
      <c r="B9" s="19"/>
      <c r="C9" s="19"/>
      <c r="D9" s="19"/>
    </row>
    <row r="10">
      <c r="A10" s="13" t="s">
        <v>38</v>
      </c>
      <c r="B10" s="19"/>
      <c r="C10" s="19"/>
      <c r="D10" s="19"/>
    </row>
    <row r="11">
      <c r="A11" s="26" t="s">
        <v>39</v>
      </c>
      <c r="B11" s="19"/>
      <c r="C11" s="19"/>
      <c r="D11" s="19"/>
    </row>
    <row r="12">
      <c r="A12" s="28"/>
    </row>
    <row r="13">
      <c r="A13" s="30"/>
    </row>
    <row r="14">
      <c r="A14" s="30"/>
    </row>
    <row r="15">
      <c r="A15" s="28"/>
    </row>
    <row r="16">
      <c r="A16" s="30"/>
    </row>
    <row r="17">
      <c r="A17" s="30"/>
    </row>
    <row r="18">
      <c r="A18" s="30"/>
    </row>
    <row r="19">
      <c r="A19" s="30"/>
    </row>
    <row r="20">
      <c r="A20" s="30"/>
    </row>
    <row r="21">
      <c r="A21" s="30"/>
    </row>
    <row r="22">
      <c r="A22" s="28"/>
    </row>
    <row r="23">
      <c r="A23" s="30"/>
    </row>
    <row r="24">
      <c r="A24" s="30"/>
    </row>
    <row r="25">
      <c r="A25" s="30"/>
    </row>
  </sheetData>
  <mergeCells count="1">
    <mergeCell ref="A1:D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13"/>
    <col customWidth="1" min="3" max="3" width="18.88"/>
    <col customWidth="1" min="4" max="4" width="37.63"/>
    <col customWidth="1" min="5" max="5" width="15.13"/>
  </cols>
  <sheetData>
    <row r="2">
      <c r="B2" s="1" t="s">
        <v>0</v>
      </c>
      <c r="C2" s="3" t="s">
        <v>3</v>
      </c>
    </row>
    <row r="4">
      <c r="B4" s="5" t="s">
        <v>4</v>
      </c>
      <c r="C4" s="5" t="s">
        <v>6</v>
      </c>
    </row>
    <row r="5">
      <c r="B5" s="9" t="s">
        <v>7</v>
      </c>
      <c r="C5" s="17">
        <f>IFERROR(SUMPRODUCT(('Respostas ao formulário 1'!C$2:C1000=B5)*(TEXT('Respostas ao formulário 1'!B$2:B1000, "MM/yyyy")=$C$2)*'Respostas ao formulário 1'!E$2:E1000), 0)</f>
        <v>1085</v>
      </c>
    </row>
    <row r="6">
      <c r="B6" s="9" t="s">
        <v>25</v>
      </c>
      <c r="C6" s="17">
        <f>IFERROR(SUMPRODUCT(('Respostas ao formulário 1'!C$2:C1000=B6)*(TEXT('Respostas ao formulário 1'!B$2:B1000, "MM/yyyy")=$C$2)*'Respostas ao formulário 1'!E$2:E1000), 0)</f>
        <v>173</v>
      </c>
    </row>
    <row r="7">
      <c r="B7" s="21" t="s">
        <v>31</v>
      </c>
      <c r="C7" s="27">
        <f>IFERROR(SUMPRODUCT(('Respostas ao formulário 1'!C$2:C1000=B7)*(TEXT('Respostas ao formulário 1'!B$2:B1000, "MM/yyyy")=$C$2)*'Respostas ao formulário 1'!E$2:E1000), 0)</f>
        <v>932</v>
      </c>
    </row>
    <row r="8">
      <c r="B8" s="29" t="s">
        <v>40</v>
      </c>
      <c r="C8" s="31">
        <f>C5+C6-C7</f>
        <v>326</v>
      </c>
    </row>
    <row r="11">
      <c r="B11" s="5" t="s">
        <v>43</v>
      </c>
      <c r="C11" s="5" t="s">
        <v>44</v>
      </c>
      <c r="D11" s="5" t="s">
        <v>45</v>
      </c>
      <c r="E11" s="5" t="s">
        <v>46</v>
      </c>
    </row>
    <row r="12">
      <c r="B12" s="32">
        <f>IFERROR(__xludf.DUMMYFUNCTION("IFERROR(FILTER({'Respostas ao formulário 1'!B2:E1000}, TEXT('Respostas ao formulário 1'!B2:B1000, ""MM/yyyy"")=$C$2), ""Nenhuma movimentação neste mês"")"),46174.0)</f>
        <v>46174</v>
      </c>
      <c r="C12" s="33" t="str">
        <f>IFERROR(__xludf.DUMMYFUNCTION("""COMPUTED_VALUE"""),"Dízimo")</f>
        <v>Dízimo</v>
      </c>
      <c r="D12" s="33" t="str">
        <f>IFERROR(__xludf.DUMMYFUNCTION("""COMPUTED_VALUE"""),"Valdionor")</f>
        <v>Valdionor</v>
      </c>
      <c r="E12" s="34">
        <f>IFERROR(__xludf.DUMMYFUNCTION("""COMPUTED_VALUE"""),120.0)</f>
        <v>120</v>
      </c>
    </row>
    <row r="13">
      <c r="B13" s="32">
        <f>IFERROR(__xludf.DUMMYFUNCTION("""COMPUTED_VALUE"""),46174.0)</f>
        <v>46174</v>
      </c>
      <c r="C13" s="33" t="str">
        <f>IFERROR(__xludf.DUMMYFUNCTION("""COMPUTED_VALUE"""),"Dízimo")</f>
        <v>Dízimo</v>
      </c>
      <c r="D13" s="33" t="str">
        <f>IFERROR(__xludf.DUMMYFUNCTION("""COMPUTED_VALUE"""),"Maria")</f>
        <v>Maria</v>
      </c>
      <c r="E13" s="34">
        <f>IFERROR(__xludf.DUMMYFUNCTION("""COMPUTED_VALUE"""),110.0)</f>
        <v>110</v>
      </c>
    </row>
    <row r="14">
      <c r="B14" s="32">
        <f>IFERROR(__xludf.DUMMYFUNCTION("""COMPUTED_VALUE"""),46174.0)</f>
        <v>46174</v>
      </c>
      <c r="C14" s="33" t="str">
        <f>IFERROR(__xludf.DUMMYFUNCTION("""COMPUTED_VALUE"""),"Dízimo")</f>
        <v>Dízimo</v>
      </c>
      <c r="D14" s="33" t="str">
        <f>IFERROR(__xludf.DUMMYFUNCTION("""COMPUTED_VALUE"""),"Marlene")</f>
        <v>Marlene</v>
      </c>
      <c r="E14" s="34">
        <f>IFERROR(__xludf.DUMMYFUNCTION("""COMPUTED_VALUE"""),50.0)</f>
        <v>50</v>
      </c>
    </row>
    <row r="15">
      <c r="B15" s="32">
        <f>IFERROR(__xludf.DUMMYFUNCTION("""COMPUTED_VALUE"""),46174.0)</f>
        <v>46174</v>
      </c>
      <c r="C15" s="33" t="str">
        <f>IFERROR(__xludf.DUMMYFUNCTION("""COMPUTED_VALUE"""),"Dízimo")</f>
        <v>Dízimo</v>
      </c>
      <c r="D15" s="33" t="str">
        <f>IFERROR(__xludf.DUMMYFUNCTION("""COMPUTED_VALUE"""),"Maria")</f>
        <v>Maria</v>
      </c>
      <c r="E15" s="34">
        <f>IFERROR(__xludf.DUMMYFUNCTION("""COMPUTED_VALUE"""),105.0)</f>
        <v>105</v>
      </c>
    </row>
    <row r="16">
      <c r="B16" s="32">
        <f>IFERROR(__xludf.DUMMYFUNCTION("""COMPUTED_VALUE"""),46174.0)</f>
        <v>46174</v>
      </c>
      <c r="C16" s="33" t="str">
        <f>IFERROR(__xludf.DUMMYFUNCTION("""COMPUTED_VALUE"""),"Dízimo")</f>
        <v>Dízimo</v>
      </c>
      <c r="D16" s="33" t="str">
        <f>IFERROR(__xludf.DUMMYFUNCTION("""COMPUTED_VALUE"""),"Marilia")</f>
        <v>Marilia</v>
      </c>
      <c r="E16" s="34">
        <f>IFERROR(__xludf.DUMMYFUNCTION("""COMPUTED_VALUE"""),200.0)</f>
        <v>200</v>
      </c>
    </row>
    <row r="17">
      <c r="B17" s="32">
        <f>IFERROR(__xludf.DUMMYFUNCTION("""COMPUTED_VALUE"""),46174.0)</f>
        <v>46174</v>
      </c>
      <c r="C17" s="33" t="str">
        <f>IFERROR(__xludf.DUMMYFUNCTION("""COMPUTED_VALUE"""),"Dízimo")</f>
        <v>Dízimo</v>
      </c>
      <c r="D17" s="33" t="str">
        <f>IFERROR(__xludf.DUMMYFUNCTION("""COMPUTED_VALUE"""),"Edna")</f>
        <v>Edna</v>
      </c>
      <c r="E17" s="34">
        <f>IFERROR(__xludf.DUMMYFUNCTION("""COMPUTED_VALUE"""),100.0)</f>
        <v>100</v>
      </c>
    </row>
    <row r="18">
      <c r="B18" s="32">
        <f>IFERROR(__xludf.DUMMYFUNCTION("""COMPUTED_VALUE"""),46174.0)</f>
        <v>46174</v>
      </c>
      <c r="C18" s="33" t="str">
        <f>IFERROR(__xludf.DUMMYFUNCTION("""COMPUTED_VALUE"""),"Dízimo")</f>
        <v>Dízimo</v>
      </c>
      <c r="D18" s="33" t="str">
        <f>IFERROR(__xludf.DUMMYFUNCTION("""COMPUTED_VALUE"""),"Mateus ")</f>
        <v>Mateus </v>
      </c>
      <c r="E18" s="34">
        <f>IFERROR(__xludf.DUMMYFUNCTION("""COMPUTED_VALUE"""),50.0)</f>
        <v>50</v>
      </c>
    </row>
    <row r="19">
      <c r="B19" s="32">
        <f>IFERROR(__xludf.DUMMYFUNCTION("""COMPUTED_VALUE"""),46174.0)</f>
        <v>46174</v>
      </c>
      <c r="C19" s="33" t="str">
        <f>IFERROR(__xludf.DUMMYFUNCTION("""COMPUTED_VALUE"""),"Dízimo")</f>
        <v>Dízimo</v>
      </c>
      <c r="D19" s="33" t="str">
        <f>IFERROR(__xludf.DUMMYFUNCTION("""COMPUTED_VALUE"""),"Ary")</f>
        <v>Ary</v>
      </c>
      <c r="E19" s="34">
        <f>IFERROR(__xludf.DUMMYFUNCTION("""COMPUTED_VALUE"""),350.0)</f>
        <v>350</v>
      </c>
    </row>
    <row r="20">
      <c r="B20" s="32">
        <f>IFERROR(__xludf.DUMMYFUNCTION("""COMPUTED_VALUE"""),46174.0)</f>
        <v>46174</v>
      </c>
      <c r="C20" s="33" t="str">
        <f>IFERROR(__xludf.DUMMYFUNCTION("""COMPUTED_VALUE"""),"Oferta")</f>
        <v>Oferta</v>
      </c>
      <c r="D20" s="33" t="str">
        <f>IFERROR(__xludf.DUMMYFUNCTION("""COMPUTED_VALUE"""),"Oferta")</f>
        <v>Oferta</v>
      </c>
      <c r="E20" s="34">
        <f>IFERROR(__xludf.DUMMYFUNCTION("""COMPUTED_VALUE"""),173.0)</f>
        <v>173</v>
      </c>
    </row>
    <row r="21">
      <c r="B21" s="32">
        <f>IFERROR(__xludf.DUMMYFUNCTION("""COMPUTED_VALUE"""),46174.0)</f>
        <v>46174</v>
      </c>
      <c r="C21" s="33" t="str">
        <f>IFERROR(__xludf.DUMMYFUNCTION("""COMPUTED_VALUE"""),"Saída (Despesa)")</f>
        <v>Saída (Despesa)</v>
      </c>
      <c r="D21" s="33" t="str">
        <f>IFERROR(__xludf.DUMMYFUNCTION("""COMPUTED_VALUE"""),"Energia")</f>
        <v>Energia</v>
      </c>
      <c r="E21" s="34">
        <f>IFERROR(__xludf.DUMMYFUNCTION("""COMPUTED_VALUE"""),64.0)</f>
        <v>64</v>
      </c>
    </row>
    <row r="22">
      <c r="B22" s="32">
        <f>IFERROR(__xludf.DUMMYFUNCTION("""COMPUTED_VALUE"""),46174.0)</f>
        <v>46174</v>
      </c>
      <c r="C22" s="33" t="str">
        <f>IFERROR(__xludf.DUMMYFUNCTION("""COMPUTED_VALUE"""),"Saída (Despesa)")</f>
        <v>Saída (Despesa)</v>
      </c>
      <c r="D22" s="33" t="str">
        <f>IFERROR(__xludf.DUMMYFUNCTION("""COMPUTED_VALUE"""),"Internet ")</f>
        <v>Internet </v>
      </c>
      <c r="E22" s="34">
        <f>IFERROR(__xludf.DUMMYFUNCTION("""COMPUTED_VALUE"""),50.0)</f>
        <v>50</v>
      </c>
    </row>
    <row r="23">
      <c r="B23" s="32">
        <f>IFERROR(__xludf.DUMMYFUNCTION("""COMPUTED_VALUE"""),46174.0)</f>
        <v>46174</v>
      </c>
      <c r="C23" s="33" t="str">
        <f>IFERROR(__xludf.DUMMYFUNCTION("""COMPUTED_VALUE"""),"Saída (Despesa)")</f>
        <v>Saída (Despesa)</v>
      </c>
      <c r="D23" s="33" t="str">
        <f>IFERROR(__xludf.DUMMYFUNCTION("""COMPUTED_VALUE"""),"Água ")</f>
        <v>Água </v>
      </c>
      <c r="E23" s="34">
        <f>IFERROR(__xludf.DUMMYFUNCTION("""COMPUTED_VALUE"""),54.0)</f>
        <v>54</v>
      </c>
    </row>
    <row r="24">
      <c r="B24" s="32">
        <f>IFERROR(__xludf.DUMMYFUNCTION("""COMPUTED_VALUE"""),46174.0)</f>
        <v>46174</v>
      </c>
      <c r="C24" s="33" t="str">
        <f>IFERROR(__xludf.DUMMYFUNCTION("""COMPUTED_VALUE"""),"Saída (Despesa)")</f>
        <v>Saída (Despesa)</v>
      </c>
      <c r="D24" s="33" t="str">
        <f>IFERROR(__xludf.DUMMYFUNCTION("""COMPUTED_VALUE"""),"Aluguel ")</f>
        <v>Aluguel </v>
      </c>
      <c r="E24" s="34">
        <f>IFERROR(__xludf.DUMMYFUNCTION("""COMPUTED_VALUE"""),350.0)</f>
        <v>350</v>
      </c>
    </row>
    <row r="25">
      <c r="B25" s="32">
        <f>IFERROR(__xludf.DUMMYFUNCTION("""COMPUTED_VALUE"""),46174.0)</f>
        <v>46174</v>
      </c>
      <c r="C25" s="33" t="str">
        <f>IFERROR(__xludf.DUMMYFUNCTION("""COMPUTED_VALUE"""),"Saída (Despesa)")</f>
        <v>Saída (Despesa)</v>
      </c>
      <c r="D25" s="33" t="str">
        <f>IFERROR(__xludf.DUMMYFUNCTION("""COMPUTED_VALUE"""),"limpeza ")</f>
        <v>limpeza </v>
      </c>
      <c r="E25" s="34">
        <f>IFERROR(__xludf.DUMMYFUNCTION("""COMPUTED_VALUE"""),300.0)</f>
        <v>300</v>
      </c>
    </row>
    <row r="26">
      <c r="B26" s="32">
        <f>IFERROR(__xludf.DUMMYFUNCTION("""COMPUTED_VALUE"""),46174.0)</f>
        <v>46174</v>
      </c>
      <c r="C26" s="33" t="str">
        <f>IFERROR(__xludf.DUMMYFUNCTION("""COMPUTED_VALUE"""),"Saída (Despesa)")</f>
        <v>Saída (Despesa)</v>
      </c>
      <c r="D26" s="33" t="str">
        <f>IFERROR(__xludf.DUMMYFUNCTION("""COMPUTED_VALUE"""),"Parcela mic")</f>
        <v>Parcela mic</v>
      </c>
      <c r="E26" s="34">
        <f>IFERROR(__xludf.DUMMYFUNCTION("""COMPUTED_VALUE"""),114.0)</f>
        <v>114</v>
      </c>
    </row>
    <row r="27">
      <c r="B27" s="32"/>
      <c r="C27" s="33"/>
      <c r="D27" s="33"/>
      <c r="E27" s="34"/>
    </row>
    <row r="28">
      <c r="B28" s="32"/>
      <c r="C28" s="33"/>
      <c r="D28" s="33"/>
      <c r="E28" s="34"/>
    </row>
    <row r="29">
      <c r="B29" s="32"/>
      <c r="C29" s="33"/>
      <c r="D29" s="33"/>
      <c r="E29" s="34"/>
    </row>
    <row r="30">
      <c r="B30" s="32"/>
      <c r="C30" s="33"/>
      <c r="D30" s="33"/>
      <c r="E30" s="34"/>
    </row>
    <row r="31">
      <c r="B31" s="32"/>
      <c r="C31" s="33"/>
      <c r="D31" s="33"/>
      <c r="E31" s="34"/>
    </row>
    <row r="32">
      <c r="B32" s="32"/>
      <c r="C32" s="33"/>
      <c r="D32" s="33"/>
      <c r="E32" s="34"/>
    </row>
    <row r="33">
      <c r="B33" s="32"/>
      <c r="C33" s="33"/>
      <c r="D33" s="33"/>
      <c r="E33" s="34"/>
    </row>
    <row r="34">
      <c r="B34" s="32"/>
      <c r="C34" s="33"/>
      <c r="D34" s="33"/>
      <c r="E34" s="34"/>
    </row>
    <row r="35">
      <c r="B35" s="32"/>
      <c r="C35" s="33"/>
      <c r="D35" s="33"/>
      <c r="E35" s="34"/>
    </row>
    <row r="36">
      <c r="B36" s="32"/>
      <c r="C36" s="33"/>
      <c r="D36" s="33"/>
      <c r="E36" s="34"/>
    </row>
    <row r="37">
      <c r="B37" s="32"/>
      <c r="C37" s="33"/>
      <c r="D37" s="33"/>
      <c r="E37" s="34"/>
    </row>
    <row r="38">
      <c r="B38" s="32"/>
      <c r="C38" s="33"/>
      <c r="D38" s="33"/>
      <c r="E38" s="34"/>
    </row>
    <row r="39">
      <c r="B39" s="32"/>
      <c r="C39" s="33"/>
      <c r="D39" s="33"/>
      <c r="E39" s="34"/>
    </row>
    <row r="40">
      <c r="B40" s="32"/>
      <c r="C40" s="33"/>
      <c r="D40" s="33"/>
      <c r="E40" s="34"/>
    </row>
    <row r="41">
      <c r="B41" s="32"/>
      <c r="C41" s="33"/>
      <c r="D41" s="33"/>
      <c r="E41" s="34"/>
    </row>
    <row r="42">
      <c r="B42" s="32"/>
      <c r="C42" s="33"/>
      <c r="D42" s="33"/>
      <c r="E42" s="34"/>
    </row>
    <row r="43">
      <c r="B43" s="32"/>
      <c r="C43" s="33"/>
      <c r="D43" s="33"/>
      <c r="E43" s="34"/>
    </row>
    <row r="44">
      <c r="B44" s="32"/>
      <c r="C44" s="33"/>
      <c r="D44" s="33"/>
      <c r="E44" s="34"/>
    </row>
    <row r="45">
      <c r="B45" s="32"/>
      <c r="C45" s="33"/>
      <c r="D45" s="33"/>
      <c r="E45" s="34"/>
    </row>
    <row r="46">
      <c r="B46" s="32"/>
      <c r="C46" s="33"/>
      <c r="D46" s="33"/>
      <c r="E46" s="34"/>
    </row>
    <row r="47">
      <c r="B47" s="32"/>
      <c r="C47" s="33"/>
      <c r="D47" s="33"/>
      <c r="E47" s="34"/>
    </row>
    <row r="48">
      <c r="B48" s="32"/>
      <c r="C48" s="33"/>
      <c r="D48" s="33"/>
      <c r="E48" s="34"/>
    </row>
    <row r="49">
      <c r="B49" s="32"/>
      <c r="C49" s="33"/>
      <c r="D49" s="33"/>
      <c r="E49" s="34"/>
    </row>
    <row r="50">
      <c r="B50" s="32"/>
      <c r="C50" s="33"/>
      <c r="D50" s="33"/>
      <c r="E50" s="34"/>
    </row>
    <row r="51">
      <c r="B51" s="32"/>
      <c r="C51" s="33"/>
      <c r="D51" s="33"/>
      <c r="E51" s="34"/>
    </row>
    <row r="52">
      <c r="B52" s="32"/>
      <c r="C52" s="33"/>
      <c r="D52" s="33"/>
      <c r="E52" s="34"/>
    </row>
    <row r="53">
      <c r="B53" s="32"/>
      <c r="C53" s="33"/>
      <c r="D53" s="33"/>
      <c r="E53" s="34"/>
    </row>
    <row r="54">
      <c r="B54" s="32"/>
      <c r="C54" s="33"/>
      <c r="D54" s="33"/>
      <c r="E54" s="34"/>
    </row>
    <row r="55">
      <c r="B55" s="32"/>
      <c r="C55" s="33"/>
      <c r="D55" s="33"/>
      <c r="E55" s="34"/>
    </row>
    <row r="56">
      <c r="B56" s="32"/>
      <c r="C56" s="33"/>
      <c r="D56" s="33"/>
      <c r="E56" s="34"/>
    </row>
    <row r="57">
      <c r="B57" s="32"/>
      <c r="C57" s="33"/>
      <c r="D57" s="33"/>
      <c r="E57" s="34"/>
    </row>
    <row r="58">
      <c r="B58" s="32"/>
      <c r="C58" s="33"/>
      <c r="D58" s="33"/>
      <c r="E58" s="34"/>
    </row>
    <row r="59">
      <c r="B59" s="32"/>
      <c r="C59" s="33"/>
      <c r="D59" s="33"/>
      <c r="E59" s="34"/>
    </row>
    <row r="60">
      <c r="B60" s="32"/>
      <c r="C60" s="33"/>
      <c r="D60" s="33"/>
      <c r="E60" s="34"/>
    </row>
    <row r="61">
      <c r="B61" s="32"/>
      <c r="C61" s="33"/>
      <c r="D61" s="33"/>
      <c r="E61" s="34"/>
    </row>
    <row r="62">
      <c r="B62" s="32"/>
      <c r="C62" s="33"/>
      <c r="D62" s="33"/>
      <c r="E62" s="34"/>
    </row>
    <row r="63">
      <c r="B63" s="32"/>
      <c r="C63" s="33"/>
      <c r="D63" s="33"/>
      <c r="E63" s="34"/>
    </row>
    <row r="64">
      <c r="B64" s="32"/>
      <c r="C64" s="33"/>
      <c r="D64" s="33"/>
      <c r="E64" s="34"/>
    </row>
    <row r="65">
      <c r="B65" s="32"/>
      <c r="C65" s="33"/>
      <c r="D65" s="33"/>
      <c r="E65" s="34"/>
    </row>
    <row r="66">
      <c r="B66" s="32"/>
      <c r="C66" s="33"/>
      <c r="D66" s="33"/>
      <c r="E66" s="34"/>
    </row>
    <row r="67">
      <c r="B67" s="32"/>
      <c r="C67" s="33"/>
      <c r="D67" s="33"/>
      <c r="E67" s="34"/>
    </row>
    <row r="68">
      <c r="B68" s="32"/>
      <c r="C68" s="33"/>
      <c r="D68" s="33"/>
      <c r="E68" s="34"/>
    </row>
    <row r="69">
      <c r="B69" s="32"/>
      <c r="C69" s="33"/>
      <c r="D69" s="33"/>
      <c r="E69" s="34"/>
    </row>
    <row r="70">
      <c r="B70" s="32"/>
      <c r="C70" s="33"/>
      <c r="D70" s="33"/>
      <c r="E70" s="34"/>
    </row>
    <row r="71">
      <c r="B71" s="32"/>
      <c r="C71" s="33"/>
      <c r="D71" s="33"/>
      <c r="E71" s="34"/>
    </row>
    <row r="72">
      <c r="B72" s="32"/>
      <c r="C72" s="33"/>
      <c r="D72" s="33"/>
      <c r="E72" s="34"/>
    </row>
    <row r="73">
      <c r="B73" s="32"/>
      <c r="C73" s="33"/>
      <c r="D73" s="33"/>
      <c r="E73" s="34"/>
    </row>
    <row r="74">
      <c r="B74" s="32"/>
      <c r="C74" s="33"/>
      <c r="D74" s="33"/>
      <c r="E74" s="34"/>
    </row>
    <row r="75">
      <c r="B75" s="32"/>
      <c r="C75" s="33"/>
      <c r="D75" s="33"/>
      <c r="E75" s="34"/>
    </row>
    <row r="76">
      <c r="B76" s="32"/>
      <c r="C76" s="33"/>
      <c r="D76" s="33"/>
      <c r="E76" s="34"/>
    </row>
    <row r="77">
      <c r="B77" s="32"/>
      <c r="C77" s="33"/>
      <c r="D77" s="33"/>
      <c r="E77" s="34"/>
    </row>
    <row r="78">
      <c r="B78" s="32"/>
      <c r="C78" s="33"/>
      <c r="D78" s="33"/>
      <c r="E78" s="34"/>
    </row>
    <row r="79">
      <c r="B79" s="32"/>
      <c r="C79" s="33"/>
      <c r="D79" s="33"/>
      <c r="E79" s="34"/>
    </row>
    <row r="80">
      <c r="B80" s="32"/>
      <c r="C80" s="33"/>
      <c r="D80" s="33"/>
      <c r="E80" s="34"/>
    </row>
    <row r="81">
      <c r="B81" s="32"/>
      <c r="C81" s="33"/>
      <c r="D81" s="33"/>
      <c r="E81" s="34"/>
    </row>
    <row r="82">
      <c r="B82" s="32"/>
      <c r="C82" s="33"/>
      <c r="D82" s="33"/>
      <c r="E82" s="34"/>
    </row>
    <row r="83">
      <c r="B83" s="32"/>
      <c r="C83" s="33"/>
      <c r="D83" s="33"/>
      <c r="E83" s="34"/>
    </row>
    <row r="84">
      <c r="B84" s="32"/>
      <c r="C84" s="33"/>
      <c r="D84" s="33"/>
      <c r="E84" s="34"/>
    </row>
    <row r="85">
      <c r="B85" s="32"/>
      <c r="C85" s="33"/>
      <c r="D85" s="33"/>
      <c r="E85" s="34"/>
    </row>
    <row r="86">
      <c r="B86" s="32"/>
      <c r="C86" s="33"/>
      <c r="D86" s="33"/>
      <c r="E86" s="34"/>
    </row>
    <row r="87">
      <c r="B87" s="32"/>
      <c r="C87" s="33"/>
      <c r="D87" s="33"/>
      <c r="E87" s="34"/>
    </row>
    <row r="88">
      <c r="B88" s="32"/>
      <c r="C88" s="33"/>
      <c r="D88" s="33"/>
      <c r="E88" s="34"/>
    </row>
    <row r="89">
      <c r="B89" s="32"/>
      <c r="C89" s="33"/>
      <c r="D89" s="33"/>
      <c r="E89" s="34"/>
    </row>
    <row r="90">
      <c r="B90" s="32"/>
      <c r="C90" s="33"/>
      <c r="D90" s="33"/>
      <c r="E90" s="34"/>
    </row>
    <row r="91">
      <c r="B91" s="32"/>
      <c r="C91" s="33"/>
      <c r="D91" s="33"/>
      <c r="E91" s="34"/>
    </row>
    <row r="92">
      <c r="B92" s="32"/>
      <c r="C92" s="33"/>
      <c r="D92" s="33"/>
      <c r="E92" s="34"/>
    </row>
    <row r="93">
      <c r="B93" s="32"/>
      <c r="C93" s="33"/>
      <c r="D93" s="33"/>
      <c r="E93" s="34"/>
    </row>
    <row r="94">
      <c r="B94" s="32"/>
      <c r="C94" s="33"/>
      <c r="D94" s="33"/>
      <c r="E94" s="34"/>
    </row>
    <row r="95">
      <c r="B95" s="32"/>
      <c r="C95" s="33"/>
      <c r="D95" s="33"/>
      <c r="E95" s="34"/>
    </row>
    <row r="96">
      <c r="B96" s="32"/>
      <c r="C96" s="33"/>
      <c r="D96" s="33"/>
      <c r="E96" s="34"/>
    </row>
    <row r="97">
      <c r="B97" s="32"/>
      <c r="C97" s="33"/>
      <c r="D97" s="33"/>
      <c r="E97" s="34"/>
    </row>
    <row r="98">
      <c r="B98" s="32"/>
      <c r="C98" s="33"/>
      <c r="D98" s="33"/>
      <c r="E98" s="34"/>
    </row>
    <row r="99">
      <c r="B99" s="32"/>
      <c r="C99" s="33"/>
      <c r="D99" s="33"/>
      <c r="E99" s="34"/>
    </row>
    <row r="100">
      <c r="B100" s="32"/>
      <c r="C100" s="33"/>
      <c r="D100" s="33"/>
      <c r="E100" s="34"/>
    </row>
  </sheetData>
  <conditionalFormatting sqref="B12:E1000">
    <cfRule type="expression" dxfId="7" priority="1" stopIfTrue="1">
      <formula>$C12="Saída (Despesa)"</formula>
    </cfRule>
  </conditionalFormatting>
  <conditionalFormatting sqref="B12:E1000">
    <cfRule type="expression" dxfId="8" priority="2" stopIfTrue="1">
      <formula>AND($C12&lt;&gt;"", $C12&lt;&gt;"Saída (Despesa)")</formula>
    </cfRule>
  </conditionalFormatting>
  <dataValidations>
    <dataValidation type="list" allowBlank="1" showErrorMessage="1" sqref="C2">
      <formula1>Calc_Data!$A$2:$A1000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7" t="str">
        <f>IFERROR(__xludf.DUMMYFUNCTION("UNIQUE(FILTER(TEXT('Respostas ao formulário 1'!B2:B1000, ""MM/yyyy""), 'Respostas ao formulário 1'!B2:B1000&lt;&gt;""""))"),"04/2026")</f>
        <v>04/2026</v>
      </c>
    </row>
    <row r="3">
      <c r="A3" s="7" t="str">
        <f>IFERROR(__xludf.DUMMYFUNCTION("""COMPUTED_VALUE"""),"05/2026")</f>
        <v>05/2026</v>
      </c>
    </row>
    <row r="4">
      <c r="A4" s="7" t="str">
        <f>IFERROR(__xludf.DUMMYFUNCTION("""COMPUTED_VALUE"""),"06/2026")</f>
        <v>06/2026</v>
      </c>
    </row>
  </sheetData>
  <drawing r:id="rId1"/>
</worksheet>
</file>